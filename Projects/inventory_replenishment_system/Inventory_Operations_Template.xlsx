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Automated_Inventory_Replenishment_System\inventory_replenishment_system\"/>
    </mc:Choice>
  </mc:AlternateContent>
  <xr:revisionPtr revIDLastSave="0" documentId="13_ncr:1_{9AD54A7C-A817-47DA-9549-3729D3D31B4F}" xr6:coauthVersionLast="47" xr6:coauthVersionMax="47" xr10:uidLastSave="{00000000-0000-0000-0000-000000000000}"/>
  <bookViews>
    <workbookView xWindow="1500" yWindow="1500" windowWidth="17280" windowHeight="9960" activeTab="1" xr2:uid="{00000000-000D-0000-FFFF-FFFF00000000}"/>
  </bookViews>
  <sheets>
    <sheet name="Override_Form" sheetId="1" r:id="rId1"/>
    <sheet name="Purchase_Order" sheetId="2" r:id="rId2"/>
    <sheet name="Lists" sheetId="3" r:id="rId3"/>
    <sheet name="Confi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F21" i="2"/>
  <c r="F20" i="2"/>
  <c r="F19" i="2"/>
  <c r="F18" i="2"/>
  <c r="F17" i="2"/>
  <c r="F16" i="2"/>
  <c r="F15" i="2"/>
  <c r="F14" i="2"/>
  <c r="F24" i="2" s="1"/>
  <c r="F13" i="2"/>
</calcChain>
</file>

<file path=xl/sharedStrings.xml><?xml version="1.0" encoding="utf-8"?>
<sst xmlns="http://schemas.openxmlformats.org/spreadsheetml/2006/main" count="152" uniqueCount="115">
  <si>
    <t>Inventory Operational Override</t>
  </si>
  <si>
    <t>Enter a validated warehouse/SKU adjustment. Submission remains pending until manager approval.</t>
  </si>
  <si>
    <t>Warehouse Code</t>
  </si>
  <si>
    <t>WH-HAM</t>
  </si>
  <si>
    <t>SKU Code</t>
  </si>
  <si>
    <t>ELEC-1001</t>
  </si>
  <si>
    <t>Override Type</t>
  </si>
  <si>
    <t>DEMAND_MULTIPLIER</t>
  </si>
  <si>
    <t>Numeric Value</t>
  </si>
  <si>
    <t>Text Value</t>
  </si>
  <si>
    <t>Effective From (UTC)</t>
  </si>
  <si>
    <t>Effective To (UTC)</t>
  </si>
  <si>
    <t>Reason</t>
  </si>
  <si>
    <t>Promotion expected; increase demand assumption.</t>
  </si>
  <si>
    <t>Submitted By</t>
  </si>
  <si>
    <t>planner@example.com</t>
  </si>
  <si>
    <t>Submission Status</t>
  </si>
  <si>
    <t>Macro Setup</t>
  </si>
  <si>
    <t>1. Save as .xlsm.</t>
  </si>
  <si>
    <t>2. Import the VBA modules from the vba folder.</t>
  </si>
  <si>
    <t>3. Add a Form Control button and assign SubmitOverrideFromSheet.</t>
  </si>
  <si>
    <t>PURCHASE ORDER</t>
  </si>
  <si>
    <t>PO Number</t>
  </si>
  <si>
    <t>PO-DEMO-0001</t>
  </si>
  <si>
    <t>Supplier Name</t>
  </si>
  <si>
    <t>NorthStar Electronics</t>
  </si>
  <si>
    <t>Supplier Email</t>
  </si>
  <si>
    <t>orders@northstar.example</t>
  </si>
  <si>
    <t>Approved</t>
  </si>
  <si>
    <t>Auto Send</t>
  </si>
  <si>
    <t>SKU</t>
  </si>
  <si>
    <t>Description</t>
  </si>
  <si>
    <t>Warehouse</t>
  </si>
  <si>
    <t>Quantity</t>
  </si>
  <si>
    <t>Unit Price</t>
  </si>
  <si>
    <t>Line Total</t>
  </si>
  <si>
    <t>Industrial Sensor A</t>
  </si>
  <si>
    <t>ELEC-1002</t>
  </si>
  <si>
    <t>Gateway Module B</t>
  </si>
  <si>
    <t>Total</t>
  </si>
  <si>
    <t>Keep Auto Send = FALSE during testing. The macro exports this sheet to PDF and opens a classic Outlook draft.</t>
  </si>
  <si>
    <t>Warehouse Codes</t>
  </si>
  <si>
    <t>SKU Codes</t>
  </si>
  <si>
    <t>Override Types</t>
  </si>
  <si>
    <t>Supplier Code</t>
  </si>
  <si>
    <t>Email</t>
  </si>
  <si>
    <t>Lead Time Days</t>
  </si>
  <si>
    <t>PHYSICAL_COUNT</t>
  </si>
  <si>
    <t>SUP-001</t>
  </si>
  <si>
    <t>WH-MUC</t>
  </si>
  <si>
    <t>SUP-002</t>
  </si>
  <si>
    <t>Continental Components</t>
  </si>
  <si>
    <t>supply@continental.example</t>
  </si>
  <si>
    <t>MECH-2001</t>
  </si>
  <si>
    <t>LEAD_TIME_PENALTY</t>
  </si>
  <si>
    <t>SAFETY_STOCK</t>
  </si>
  <si>
    <t>REORDER_QTY</t>
  </si>
  <si>
    <t>HOLD_REPLENISHMENT</t>
  </si>
  <si>
    <t>System Configuration and VBA Field Map</t>
  </si>
  <si>
    <t>Python Executable</t>
  </si>
  <si>
    <t>Project Root</t>
  </si>
  <si>
    <t>API URL</t>
  </si>
  <si>
    <t>http://localhost:8000</t>
  </si>
  <si>
    <t>Purchase Order Folder</t>
  </si>
  <si>
    <t>C:\InventoryPurchaseOrders</t>
  </si>
  <si>
    <t>Last Result Path</t>
  </si>
  <si>
    <t>Poll Count</t>
  </si>
  <si>
    <t>Do not store the API key in this workbook. Set the Windows user environment variable INVENTORY_API_KEY.</t>
  </si>
  <si>
    <t>Field Key</t>
  </si>
  <si>
    <t>Sheet</t>
  </si>
  <si>
    <t>Cell</t>
  </si>
  <si>
    <t>cfgPythonExe</t>
  </si>
  <si>
    <t>Config</t>
  </si>
  <si>
    <t>B2</t>
  </si>
  <si>
    <t>cfgProjectRoot</t>
  </si>
  <si>
    <t>B3</t>
  </si>
  <si>
    <t>cfgApiUrl</t>
  </si>
  <si>
    <t>B4</t>
  </si>
  <si>
    <t>cfgPurchaseOrderFolder</t>
  </si>
  <si>
    <t>B5</t>
  </si>
  <si>
    <t>cfgLastResultPath</t>
  </si>
  <si>
    <t>B6</t>
  </si>
  <si>
    <t>cfgPollCount</t>
  </si>
  <si>
    <t>B7</t>
  </si>
  <si>
    <t>inpWarehouseCode</t>
  </si>
  <si>
    <t>Override_Form</t>
  </si>
  <si>
    <t>inpSkuCode</t>
  </si>
  <si>
    <t>inpOverrideType</t>
  </si>
  <si>
    <t>inpNumericValue</t>
  </si>
  <si>
    <t>B8</t>
  </si>
  <si>
    <t>inpTextValue</t>
  </si>
  <si>
    <t>B9</t>
  </si>
  <si>
    <t>inpEffectiveFromUTC</t>
  </si>
  <si>
    <t>B10</t>
  </si>
  <si>
    <t>inpEffectiveToUTC</t>
  </si>
  <si>
    <t>B11</t>
  </si>
  <si>
    <t>inpReason</t>
  </si>
  <si>
    <t>B12</t>
  </si>
  <si>
    <t>inpSubmittedBy</t>
  </si>
  <si>
    <t>B13</t>
  </si>
  <si>
    <t>outSubmissionStatus</t>
  </si>
  <si>
    <t>A16</t>
  </si>
  <si>
    <t>poNumber</t>
  </si>
  <si>
    <t>Purchase_Order</t>
  </si>
  <si>
    <t>poSupplierName</t>
  </si>
  <si>
    <t>poSupplierEmail</t>
  </si>
  <si>
    <t>poApproved</t>
  </si>
  <si>
    <t>poAutoSend</t>
  </si>
  <si>
    <t>outPOStatus</t>
  </si>
  <si>
    <t>A10</t>
  </si>
  <si>
    <t>C:\Users\admin\Downloads\Automated_Inventory_Replenishment_System\inventory_replenishment_system\.venv\Scripts\python.exe</t>
  </si>
  <si>
    <t>C:\Users\admin\Downloads\Automated_Inventory_Replenishment_System\inventory_replenishment_system</t>
  </si>
  <si>
    <t>C:\Users\admin\AppData\Local\Temp\inventory_override_20260723_080301_02898123.result.json</t>
  </si>
  <si>
    <t>SUCCESS: Override saved and awaiting approval.</t>
  </si>
  <si>
    <t xml:space="preserve">ERROR: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</si>
</sst>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8">
    <font>
      <sz val="11"/>
      <name val="Carlito"/>
    </font>
    <font>
      <b/>
      <sz val="18"/>
      <color rgb="FFFFFFFF"/>
      <name val="Carlito"/>
    </font>
    <font>
      <sz val="11"/>
      <color rgb="FF245B2A"/>
      <name val="Carlito"/>
    </font>
    <font>
      <b/>
      <sz val="11"/>
      <color rgb="FF243447"/>
      <name val="Carlito"/>
    </font>
    <font>
      <sz val="11"/>
      <color rgb="FF1F2937"/>
      <name val="Carlito"/>
    </font>
    <font>
      <b/>
      <sz val="11"/>
      <color rgb="FF17365D"/>
      <name val="Carlito"/>
    </font>
    <font>
      <b/>
      <sz val="11"/>
      <name val="Carlito"/>
    </font>
    <font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4EA"/>
      </patternFill>
    </fill>
    <fill>
      <patternFill patternType="solid">
        <fgColor rgb="FFF3F6F9"/>
      </patternFill>
    </fill>
    <fill>
      <patternFill patternType="solid">
        <fgColor rgb="FFFFF7D6"/>
      </patternFill>
    </fill>
    <fill>
      <patternFill patternType="solid">
        <fgColor rgb="FFD9EAF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vertical="center"/>
    </xf>
    <xf numFmtId="0" fontId="4" fillId="5" borderId="0" xfId="0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/>
    </xf>
    <xf numFmtId="0" fontId="4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  <xf numFmtId="4" fontId="0" fillId="0" borderId="0" xfId="0" applyNumberFormat="1"/>
    <xf numFmtId="4" fontId="6" fillId="0" borderId="0" xfId="0" applyNumberFormat="1" applyFont="1"/>
    <xf numFmtId="0" fontId="0" fillId="0" borderId="0" xfId="0" applyAlignment="1">
      <alignment vertical="center" wrapText="1"/>
    </xf>
    <xf numFmtId="0" fontId="5" fillId="6" borderId="0" xfId="0" applyFont="1" applyFill="1" applyAlignment="1">
      <alignment vertical="center"/>
    </xf>
    <xf numFmtId="0" fontId="6" fillId="7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4" fillId="5" borderId="0" xfId="0" applyFont="1" applyFill="1"/>
  </cellXfs>
  <cellStyles count="1">
    <cellStyle name="Normal" xfId="0" builtinId="0"/>
  </cellStyles>
  <dxfs count="2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B1C1C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5</xdr:row>
          <xdr:rowOff>76200</xdr:rowOff>
        </xdr:from>
        <xdr:to>
          <xdr:col>9</xdr:col>
          <xdr:colOff>228600</xdr:colOff>
          <xdr:row>8</xdr:row>
          <xdr:rowOff>45720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rlito"/>
                </a:rPr>
                <a:t>Submit Override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5</xdr:row>
          <xdr:rowOff>0</xdr:rowOff>
        </xdr:from>
        <xdr:to>
          <xdr:col>10</xdr:col>
          <xdr:colOff>160020</xdr:colOff>
          <xdr:row>7</xdr:row>
          <xdr:rowOff>106680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rlito"/>
                </a:rPr>
                <a:t>Generate Purchase Order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OrderLines" displayName="PurchaseOrderLines" ref="A12:F22">
  <tableColumns count="6">
    <tableColumn id="1" xr3:uid="{00000000-0010-0000-0000-000001000000}" name="SKU"/>
    <tableColumn id="2" xr3:uid="{00000000-0010-0000-0000-000002000000}" name="Description"/>
    <tableColumn id="3" xr3:uid="{00000000-0010-0000-0000-000003000000}" name="Warehouse"/>
    <tableColumn id="4" xr3:uid="{00000000-0010-0000-0000-000004000000}" name="Quantity"/>
    <tableColumn id="5" xr3:uid="{00000000-0010-0000-0000-000005000000}" name="Unit Price"/>
    <tableColumn id="6" xr3:uid="{00000000-0010-0000-0000-000006000000}" name="Line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BAFieldMap" displayName="VBAFieldMap" ref="E12:G34">
  <tableColumns count="3">
    <tableColumn id="1" xr3:uid="{00000000-0010-0000-0100-000001000000}" name="Field Key"/>
    <tableColumn id="2" xr3:uid="{00000000-0010-0000-0100-000002000000}" name="Sheet"/>
    <tableColumn id="3" xr3:uid="{00000000-0010-0000-0100-000003000000}" name="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3"/>
  <sheetViews>
    <sheetView topLeftCell="A5" workbookViewId="0">
      <selection activeCell="A16" sqref="A16:F18"/>
    </sheetView>
  </sheetViews>
  <sheetFormatPr defaultRowHeight="13.8"/>
  <cols>
    <col min="1" max="1" width="23" customWidth="1"/>
    <col min="2" max="5" width="18" customWidth="1"/>
  </cols>
  <sheetData>
    <row r="1" spans="1:6" ht="21.6" customHeight="1">
      <c r="A1" s="12" t="s">
        <v>0</v>
      </c>
      <c r="B1" s="12"/>
      <c r="C1" s="12"/>
      <c r="D1" s="12"/>
      <c r="E1" s="12"/>
      <c r="F1" s="12"/>
    </row>
    <row r="2" spans="1:6" ht="21.6" customHeight="1">
      <c r="A2" s="12"/>
      <c r="B2" s="12"/>
      <c r="C2" s="12"/>
      <c r="D2" s="12"/>
      <c r="E2" s="12"/>
      <c r="F2" s="12"/>
    </row>
    <row r="3" spans="1:6">
      <c r="A3" s="13" t="s">
        <v>1</v>
      </c>
      <c r="B3" s="13"/>
      <c r="C3" s="13"/>
      <c r="D3" s="13"/>
      <c r="E3" s="13"/>
      <c r="F3" s="13"/>
    </row>
    <row r="5" spans="1:6">
      <c r="A5" s="1" t="s">
        <v>2</v>
      </c>
      <c r="B5" t="s">
        <v>3</v>
      </c>
      <c r="C5" s="2"/>
      <c r="D5" s="2"/>
      <c r="E5" s="2"/>
    </row>
    <row r="6" spans="1:6">
      <c r="A6" s="1" t="s">
        <v>4</v>
      </c>
      <c r="B6" s="2" t="s">
        <v>37</v>
      </c>
      <c r="C6" s="2"/>
      <c r="D6" s="2"/>
      <c r="E6" s="2"/>
    </row>
    <row r="7" spans="1:6">
      <c r="A7" s="1" t="s">
        <v>6</v>
      </c>
      <c r="B7" s="2" t="s">
        <v>7</v>
      </c>
      <c r="C7" s="2"/>
      <c r="D7" s="2"/>
      <c r="E7" s="2"/>
    </row>
    <row r="8" spans="1:6">
      <c r="A8" s="1" t="s">
        <v>8</v>
      </c>
      <c r="B8" s="2">
        <v>1.2</v>
      </c>
      <c r="C8" s="2"/>
      <c r="D8" s="2"/>
      <c r="E8" s="2"/>
    </row>
    <row r="9" spans="1:6">
      <c r="A9" s="1" t="s">
        <v>9</v>
      </c>
      <c r="B9" s="14"/>
      <c r="C9" s="14"/>
      <c r="D9" s="14"/>
      <c r="E9" s="14"/>
    </row>
    <row r="10" spans="1:6">
      <c r="A10" s="1" t="s">
        <v>10</v>
      </c>
      <c r="B10" s="3">
        <v>46226.155949074076</v>
      </c>
      <c r="C10" s="2"/>
      <c r="D10" s="2"/>
      <c r="E10" s="2"/>
    </row>
    <row r="11" spans="1:6">
      <c r="A11" s="1" t="s">
        <v>11</v>
      </c>
      <c r="B11" s="3"/>
      <c r="C11" s="2"/>
      <c r="D11" s="2"/>
      <c r="E11" s="2"/>
    </row>
    <row r="12" spans="1:6">
      <c r="A12" s="1" t="s">
        <v>12</v>
      </c>
      <c r="B12" s="14" t="s">
        <v>13</v>
      </c>
      <c r="C12" s="14"/>
      <c r="D12" s="14"/>
      <c r="E12" s="14"/>
    </row>
    <row r="13" spans="1:6">
      <c r="A13" s="1" t="s">
        <v>14</v>
      </c>
      <c r="B13" s="14" t="s">
        <v>15</v>
      </c>
      <c r="C13" s="14"/>
      <c r="D13" s="14"/>
      <c r="E13" s="14"/>
    </row>
    <row r="15" spans="1:6">
      <c r="A15" s="10" t="s">
        <v>16</v>
      </c>
      <c r="B15" s="10"/>
      <c r="C15" s="10"/>
      <c r="D15" s="10"/>
      <c r="E15" s="10"/>
      <c r="F15" s="10"/>
    </row>
    <row r="16" spans="1:6">
      <c r="A16" s="11" t="s">
        <v>113</v>
      </c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  <row r="18" spans="1:6">
      <c r="A18" s="11"/>
      <c r="B18" s="11"/>
      <c r="C18" s="11"/>
      <c r="D18" s="11"/>
      <c r="E18" s="11"/>
      <c r="F18" s="11"/>
    </row>
    <row r="20" spans="1:6">
      <c r="A20" s="10" t="s">
        <v>17</v>
      </c>
      <c r="B20" s="10"/>
      <c r="C20" s="10"/>
      <c r="D20" s="10"/>
      <c r="E20" s="10"/>
      <c r="F20" s="10"/>
    </row>
    <row r="21" spans="1:6" ht="19.2" customHeight="1">
      <c r="A21" s="9" t="s">
        <v>18</v>
      </c>
      <c r="B21" s="9"/>
      <c r="C21" s="9"/>
      <c r="D21" s="9"/>
      <c r="E21" s="9"/>
      <c r="F21" s="9"/>
    </row>
    <row r="22" spans="1:6" ht="19.2" customHeight="1">
      <c r="A22" s="9" t="s">
        <v>19</v>
      </c>
      <c r="B22" s="9"/>
      <c r="C22" s="9"/>
      <c r="D22" s="9"/>
      <c r="E22" s="9"/>
      <c r="F22" s="9"/>
    </row>
    <row r="23" spans="1:6" ht="19.2" customHeight="1">
      <c r="A23" s="9" t="s">
        <v>20</v>
      </c>
      <c r="B23" s="9"/>
      <c r="C23" s="9"/>
      <c r="D23" s="9"/>
      <c r="E23" s="9"/>
      <c r="F23" s="9"/>
    </row>
  </sheetData>
  <mergeCells count="11">
    <mergeCell ref="A1:F2"/>
    <mergeCell ref="A3:F3"/>
    <mergeCell ref="B9:E9"/>
    <mergeCell ref="B12:E12"/>
    <mergeCell ref="B13:E13"/>
    <mergeCell ref="A23:F23"/>
    <mergeCell ref="A15:F15"/>
    <mergeCell ref="A16:F18"/>
    <mergeCell ref="A20:F20"/>
    <mergeCell ref="A21:F21"/>
    <mergeCell ref="A22:F22"/>
  </mergeCells>
  <conditionalFormatting sqref="A16:F18">
    <cfRule type="expression" dxfId="1" priority="1">
      <formula>ISNUMBER(SEARCH("ERROR",A16))</formula>
    </cfRule>
    <cfRule type="expression" dxfId="0" priority="2">
      <formula>ISNUMBER(SEARCH("SUCCESS",A16))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SubmitOverrideFromSheet">
                <anchor moveWithCells="1">
                  <from>
                    <xdr:col>6</xdr:col>
                    <xdr:colOff>289560</xdr:colOff>
                    <xdr:row>5</xdr:row>
                    <xdr:rowOff>76200</xdr:rowOff>
                  </from>
                  <to>
                    <xdr:col>9</xdr:col>
                    <xdr:colOff>228600</xdr:colOff>
                    <xdr:row>8</xdr:row>
                    <xdr:rowOff>45720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1000000}">
          <x14:formula1>
            <xm:f>Lists!$B$2:$B$4</xm:f>
          </x14:formula1>
          <xm:sqref>B6</xm:sqref>
        </x14:dataValidation>
        <x14:dataValidation type="list" xr:uid="{00000000-0002-0000-0000-000002000000}">
          <x14:formula1>
            <xm:f>Lists!$C$2:$C$7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8"/>
  <sheetViews>
    <sheetView tabSelected="1" topLeftCell="A2" workbookViewId="0">
      <selection activeCell="J14" sqref="J14"/>
    </sheetView>
  </sheetViews>
  <sheetFormatPr defaultRowHeight="13.8"/>
  <cols>
    <col min="1" max="1" width="18" customWidth="1"/>
    <col min="2" max="2" width="27" customWidth="1"/>
    <col min="3" max="3" width="16" customWidth="1"/>
    <col min="4" max="6" width="14" customWidth="1"/>
  </cols>
  <sheetData>
    <row r="1" spans="1:6" ht="21.6" customHeight="1">
      <c r="A1" s="12" t="s">
        <v>21</v>
      </c>
      <c r="B1" s="12"/>
      <c r="C1" s="12"/>
      <c r="D1" s="12"/>
      <c r="E1" s="12"/>
      <c r="F1" s="12"/>
    </row>
    <row r="2" spans="1:6" ht="21.6" customHeight="1">
      <c r="A2" s="12"/>
      <c r="B2" s="12"/>
      <c r="C2" s="12"/>
      <c r="D2" s="12"/>
      <c r="E2" s="12"/>
      <c r="F2" s="12"/>
    </row>
    <row r="4" spans="1:6">
      <c r="A4" s="1" t="s">
        <v>22</v>
      </c>
      <c r="B4" s="2" t="s">
        <v>23</v>
      </c>
      <c r="C4" s="2"/>
      <c r="D4" s="2"/>
      <c r="E4" s="2"/>
    </row>
    <row r="5" spans="1:6">
      <c r="A5" s="1" t="s">
        <v>24</v>
      </c>
      <c r="B5" s="14" t="s">
        <v>25</v>
      </c>
      <c r="C5" s="14"/>
      <c r="D5" s="14"/>
      <c r="E5" s="14"/>
    </row>
    <row r="6" spans="1:6">
      <c r="A6" s="1" t="s">
        <v>26</v>
      </c>
      <c r="B6" s="14" t="s">
        <v>27</v>
      </c>
      <c r="C6" s="14"/>
      <c r="D6" s="14"/>
      <c r="E6" s="14"/>
    </row>
    <row r="7" spans="1:6">
      <c r="A7" s="1" t="s">
        <v>28</v>
      </c>
      <c r="B7" s="5" t="b">
        <v>0</v>
      </c>
      <c r="C7" s="2"/>
      <c r="D7" s="2"/>
      <c r="E7" s="2"/>
    </row>
    <row r="8" spans="1:6">
      <c r="A8" s="1" t="s">
        <v>29</v>
      </c>
      <c r="B8" s="5" t="b">
        <v>0</v>
      </c>
      <c r="C8" s="2"/>
      <c r="D8" s="2"/>
      <c r="E8" s="2"/>
    </row>
    <row r="10" spans="1:6">
      <c r="A10" s="13" t="s">
        <v>114</v>
      </c>
      <c r="B10" s="13"/>
      <c r="C10" s="13"/>
      <c r="D10" s="13"/>
      <c r="E10" s="13"/>
      <c r="F10" s="13"/>
    </row>
    <row r="12" spans="1:6">
      <c r="A12" s="4" t="s">
        <v>30</v>
      </c>
      <c r="B12" s="4" t="s">
        <v>31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>
      <c r="A13" t="s">
        <v>5</v>
      </c>
      <c r="B13" t="s">
        <v>36</v>
      </c>
      <c r="C13" t="s">
        <v>3</v>
      </c>
      <c r="D13" s="6">
        <v>100</v>
      </c>
      <c r="E13" s="7">
        <v>36.130000000000003</v>
      </c>
      <c r="F13" s="7">
        <f t="shared" ref="F13:F22" si="0">D13*E13</f>
        <v>3613.0000000000005</v>
      </c>
    </row>
    <row r="14" spans="1:6">
      <c r="A14" t="s">
        <v>37</v>
      </c>
      <c r="B14" t="s">
        <v>38</v>
      </c>
      <c r="C14" t="s">
        <v>3</v>
      </c>
      <c r="D14" s="6">
        <v>50</v>
      </c>
      <c r="E14" s="7">
        <v>74.8</v>
      </c>
      <c r="F14" s="7">
        <f t="shared" si="0"/>
        <v>3740</v>
      </c>
    </row>
    <row r="15" spans="1:6">
      <c r="D15" s="6"/>
      <c r="E15" s="7"/>
      <c r="F15" s="7">
        <f t="shared" si="0"/>
        <v>0</v>
      </c>
    </row>
    <row r="16" spans="1:6">
      <c r="D16" s="6"/>
      <c r="E16" s="7"/>
      <c r="F16" s="7">
        <f t="shared" si="0"/>
        <v>0</v>
      </c>
    </row>
    <row r="17" spans="1:6">
      <c r="D17" s="6"/>
      <c r="E17" s="7"/>
      <c r="F17" s="7">
        <f t="shared" si="0"/>
        <v>0</v>
      </c>
    </row>
    <row r="18" spans="1:6">
      <c r="D18" s="6"/>
      <c r="E18" s="7"/>
      <c r="F18" s="7">
        <f t="shared" si="0"/>
        <v>0</v>
      </c>
    </row>
    <row r="19" spans="1:6">
      <c r="D19" s="6"/>
      <c r="E19" s="7"/>
      <c r="F19" s="7">
        <f t="shared" si="0"/>
        <v>0</v>
      </c>
    </row>
    <row r="20" spans="1:6">
      <c r="D20" s="6"/>
      <c r="E20" s="7"/>
      <c r="F20" s="7">
        <f t="shared" si="0"/>
        <v>0</v>
      </c>
    </row>
    <row r="21" spans="1:6">
      <c r="D21" s="6"/>
      <c r="E21" s="7"/>
      <c r="F21" s="7">
        <f t="shared" si="0"/>
        <v>0</v>
      </c>
    </row>
    <row r="22" spans="1:6">
      <c r="D22" s="6"/>
      <c r="E22" s="7"/>
      <c r="F22" s="7">
        <f t="shared" si="0"/>
        <v>0</v>
      </c>
    </row>
    <row r="24" spans="1:6">
      <c r="E24" s="1" t="s">
        <v>39</v>
      </c>
      <c r="F24" s="8">
        <f>SUM(F13:F22)</f>
        <v>7353</v>
      </c>
    </row>
    <row r="26" spans="1:6">
      <c r="A26" s="13" t="s">
        <v>40</v>
      </c>
      <c r="B26" s="13"/>
      <c r="C26" s="13"/>
      <c r="D26" s="13"/>
      <c r="E26" s="13"/>
      <c r="F26" s="13"/>
    </row>
    <row r="27" spans="1:6">
      <c r="A27" s="13"/>
      <c r="B27" s="13"/>
      <c r="C27" s="13"/>
      <c r="D27" s="13"/>
      <c r="E27" s="13"/>
      <c r="F27" s="13"/>
    </row>
    <row r="28" spans="1:6">
      <c r="A28" s="13"/>
      <c r="B28" s="13"/>
      <c r="C28" s="13"/>
      <c r="D28" s="13"/>
      <c r="E28" s="13"/>
      <c r="F28" s="13"/>
    </row>
  </sheetData>
  <mergeCells count="5">
    <mergeCell ref="A1:F2"/>
    <mergeCell ref="B5:E5"/>
    <mergeCell ref="B6:E6"/>
    <mergeCell ref="A10:F10"/>
    <mergeCell ref="A26:F2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0]!GenerateAndEmailPurchaseOrder">
                <anchor moveWithCells="1">
                  <from>
                    <xdr:col>6</xdr:col>
                    <xdr:colOff>426720</xdr:colOff>
                    <xdr:row>5</xdr:row>
                    <xdr:rowOff>0</xdr:rowOff>
                  </from>
                  <to>
                    <xdr:col>10</xdr:col>
                    <xdr:colOff>160020</xdr:colOff>
                    <xdr:row>7</xdr:row>
                    <xdr:rowOff>106680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7"/>
  <sheetViews>
    <sheetView workbookViewId="0"/>
  </sheetViews>
  <sheetFormatPr defaultRowHeight="13.8"/>
  <cols>
    <col min="1" max="8" width="22" customWidth="1"/>
  </cols>
  <sheetData>
    <row r="1" spans="1:8">
      <c r="A1" s="4" t="s">
        <v>41</v>
      </c>
      <c r="B1" s="4" t="s">
        <v>42</v>
      </c>
      <c r="C1" s="4" t="s">
        <v>43</v>
      </c>
      <c r="E1" s="4" t="s">
        <v>44</v>
      </c>
      <c r="F1" s="4" t="s">
        <v>24</v>
      </c>
      <c r="G1" s="4" t="s">
        <v>45</v>
      </c>
      <c r="H1" s="4" t="s">
        <v>46</v>
      </c>
    </row>
    <row r="2" spans="1:8">
      <c r="A2" t="s">
        <v>3</v>
      </c>
      <c r="B2" t="s">
        <v>5</v>
      </c>
      <c r="C2" t="s">
        <v>47</v>
      </c>
      <c r="E2" t="s">
        <v>48</v>
      </c>
      <c r="F2" t="s">
        <v>25</v>
      </c>
      <c r="G2" t="s">
        <v>27</v>
      </c>
      <c r="H2">
        <v>8</v>
      </c>
    </row>
    <row r="3" spans="1:8">
      <c r="A3" t="s">
        <v>49</v>
      </c>
      <c r="B3" t="s">
        <v>37</v>
      </c>
      <c r="C3" t="s">
        <v>7</v>
      </c>
      <c r="E3" t="s">
        <v>50</v>
      </c>
      <c r="F3" t="s">
        <v>51</v>
      </c>
      <c r="G3" t="s">
        <v>52</v>
      </c>
      <c r="H3">
        <v>12</v>
      </c>
    </row>
    <row r="4" spans="1:8">
      <c r="B4" t="s">
        <v>53</v>
      </c>
      <c r="C4" t="s">
        <v>54</v>
      </c>
    </row>
    <row r="5" spans="1:8">
      <c r="C5" t="s">
        <v>55</v>
      </c>
    </row>
    <row r="6" spans="1:8">
      <c r="C6" t="s">
        <v>56</v>
      </c>
    </row>
    <row r="7" spans="1:8">
      <c r="C7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34"/>
  <sheetViews>
    <sheetView workbookViewId="0">
      <selection activeCell="B15" sqref="B15"/>
    </sheetView>
  </sheetViews>
  <sheetFormatPr defaultRowHeight="13.8"/>
  <cols>
    <col min="1" max="1" width="25" customWidth="1"/>
    <col min="2" max="2" width="48" customWidth="1"/>
    <col min="5" max="5" width="28" customWidth="1"/>
    <col min="6" max="6" width="20" customWidth="1"/>
    <col min="7" max="7" width="12" customWidth="1"/>
  </cols>
  <sheetData>
    <row r="1" spans="1:7" ht="22.8">
      <c r="A1" s="12" t="s">
        <v>58</v>
      </c>
      <c r="B1" s="12"/>
      <c r="C1" s="12"/>
      <c r="D1" s="12"/>
      <c r="E1" s="12"/>
      <c r="F1" s="12"/>
      <c r="G1" s="12"/>
    </row>
    <row r="2" spans="1:7">
      <c r="A2" s="1" t="s">
        <v>59</v>
      </c>
      <c r="B2" s="2" t="s">
        <v>110</v>
      </c>
    </row>
    <row r="3" spans="1:7">
      <c r="A3" s="1" t="s">
        <v>60</v>
      </c>
      <c r="B3" s="2" t="s">
        <v>111</v>
      </c>
    </row>
    <row r="4" spans="1:7">
      <c r="A4" s="1" t="s">
        <v>61</v>
      </c>
      <c r="B4" s="2" t="s">
        <v>62</v>
      </c>
    </row>
    <row r="5" spans="1:7">
      <c r="A5" s="1" t="s">
        <v>63</v>
      </c>
      <c r="B5" s="2" t="s">
        <v>64</v>
      </c>
    </row>
    <row r="6" spans="1:7">
      <c r="A6" s="1" t="s">
        <v>65</v>
      </c>
      <c r="B6" s="2" t="s">
        <v>112</v>
      </c>
    </row>
    <row r="7" spans="1:7">
      <c r="A7" s="1" t="s">
        <v>66</v>
      </c>
      <c r="B7" s="2">
        <v>1</v>
      </c>
    </row>
    <row r="9" spans="1:7">
      <c r="A9" s="13" t="s">
        <v>67</v>
      </c>
      <c r="B9" s="13"/>
      <c r="C9" s="13"/>
      <c r="D9" s="13"/>
      <c r="E9" s="13"/>
      <c r="F9" s="13"/>
      <c r="G9" s="13"/>
    </row>
    <row r="10" spans="1:7">
      <c r="A10" s="13"/>
      <c r="B10" s="13"/>
      <c r="C10" s="13"/>
      <c r="D10" s="13"/>
      <c r="E10" s="13"/>
      <c r="F10" s="13"/>
      <c r="G10" s="13"/>
    </row>
    <row r="12" spans="1:7">
      <c r="E12" s="4" t="s">
        <v>68</v>
      </c>
      <c r="F12" s="4" t="s">
        <v>69</v>
      </c>
      <c r="G12" s="4" t="s">
        <v>70</v>
      </c>
    </row>
    <row r="13" spans="1:7">
      <c r="E13" t="s">
        <v>71</v>
      </c>
      <c r="F13" t="s">
        <v>72</v>
      </c>
      <c r="G13" t="s">
        <v>73</v>
      </c>
    </row>
    <row r="14" spans="1:7">
      <c r="E14" t="s">
        <v>74</v>
      </c>
      <c r="F14" t="s">
        <v>72</v>
      </c>
      <c r="G14" t="s">
        <v>75</v>
      </c>
    </row>
    <row r="15" spans="1:7">
      <c r="E15" t="s">
        <v>76</v>
      </c>
      <c r="F15" t="s">
        <v>72</v>
      </c>
      <c r="G15" t="s">
        <v>77</v>
      </c>
    </row>
    <row r="16" spans="1:7">
      <c r="E16" t="s">
        <v>78</v>
      </c>
      <c r="F16" t="s">
        <v>72</v>
      </c>
      <c r="G16" t="s">
        <v>79</v>
      </c>
    </row>
    <row r="17" spans="5:7">
      <c r="E17" t="s">
        <v>80</v>
      </c>
      <c r="F17" t="s">
        <v>72</v>
      </c>
      <c r="G17" t="s">
        <v>81</v>
      </c>
    </row>
    <row r="18" spans="5:7">
      <c r="E18" t="s">
        <v>82</v>
      </c>
      <c r="F18" t="s">
        <v>72</v>
      </c>
      <c r="G18" t="s">
        <v>83</v>
      </c>
    </row>
    <row r="19" spans="5:7">
      <c r="E19" t="s">
        <v>84</v>
      </c>
      <c r="F19" t="s">
        <v>85</v>
      </c>
      <c r="G19" t="s">
        <v>79</v>
      </c>
    </row>
    <row r="20" spans="5:7">
      <c r="E20" t="s">
        <v>86</v>
      </c>
      <c r="F20" t="s">
        <v>85</v>
      </c>
      <c r="G20" t="s">
        <v>81</v>
      </c>
    </row>
    <row r="21" spans="5:7">
      <c r="E21" t="s">
        <v>87</v>
      </c>
      <c r="F21" t="s">
        <v>85</v>
      </c>
      <c r="G21" t="s">
        <v>83</v>
      </c>
    </row>
    <row r="22" spans="5:7">
      <c r="E22" t="s">
        <v>88</v>
      </c>
      <c r="F22" t="s">
        <v>85</v>
      </c>
      <c r="G22" t="s">
        <v>89</v>
      </c>
    </row>
    <row r="23" spans="5:7">
      <c r="E23" t="s">
        <v>90</v>
      </c>
      <c r="F23" t="s">
        <v>85</v>
      </c>
      <c r="G23" t="s">
        <v>91</v>
      </c>
    </row>
    <row r="24" spans="5:7">
      <c r="E24" t="s">
        <v>92</v>
      </c>
      <c r="F24" t="s">
        <v>85</v>
      </c>
      <c r="G24" t="s">
        <v>93</v>
      </c>
    </row>
    <row r="25" spans="5:7">
      <c r="E25" t="s">
        <v>94</v>
      </c>
      <c r="F25" t="s">
        <v>85</v>
      </c>
      <c r="G25" t="s">
        <v>95</v>
      </c>
    </row>
    <row r="26" spans="5:7">
      <c r="E26" t="s">
        <v>96</v>
      </c>
      <c r="F26" t="s">
        <v>85</v>
      </c>
      <c r="G26" t="s">
        <v>97</v>
      </c>
    </row>
    <row r="27" spans="5:7">
      <c r="E27" t="s">
        <v>98</v>
      </c>
      <c r="F27" t="s">
        <v>85</v>
      </c>
      <c r="G27" t="s">
        <v>99</v>
      </c>
    </row>
    <row r="28" spans="5:7">
      <c r="E28" t="s">
        <v>100</v>
      </c>
      <c r="F28" t="s">
        <v>85</v>
      </c>
      <c r="G28" t="s">
        <v>101</v>
      </c>
    </row>
    <row r="29" spans="5:7">
      <c r="E29" t="s">
        <v>102</v>
      </c>
      <c r="F29" t="s">
        <v>103</v>
      </c>
      <c r="G29" t="s">
        <v>77</v>
      </c>
    </row>
    <row r="30" spans="5:7">
      <c r="E30" t="s">
        <v>104</v>
      </c>
      <c r="F30" t="s">
        <v>103</v>
      </c>
      <c r="G30" t="s">
        <v>79</v>
      </c>
    </row>
    <row r="31" spans="5:7">
      <c r="E31" t="s">
        <v>105</v>
      </c>
      <c r="F31" t="s">
        <v>103</v>
      </c>
      <c r="G31" t="s">
        <v>81</v>
      </c>
    </row>
    <row r="32" spans="5:7">
      <c r="E32" t="s">
        <v>106</v>
      </c>
      <c r="F32" t="s">
        <v>103</v>
      </c>
      <c r="G32" t="s">
        <v>83</v>
      </c>
    </row>
    <row r="33" spans="5:7">
      <c r="E33" t="s">
        <v>107</v>
      </c>
      <c r="F33" t="s">
        <v>103</v>
      </c>
      <c r="G33" t="s">
        <v>89</v>
      </c>
    </row>
    <row r="34" spans="5:7">
      <c r="E34" t="s">
        <v>108</v>
      </c>
      <c r="F34" t="s">
        <v>103</v>
      </c>
      <c r="G34" t="s">
        <v>109</v>
      </c>
    </row>
  </sheetData>
  <mergeCells count="2">
    <mergeCell ref="A1:G1"/>
    <mergeCell ref="A9:G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Override_Form</vt:lpstr>
      <vt:lpstr>Purchase_Order</vt:lpstr>
      <vt:lpstr>Lists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wajahat hussain</cp:lastModifiedBy>
  <dcterms:modified xsi:type="dcterms:W3CDTF">2026-07-23T10:54:04Z</dcterms:modified>
</cp:coreProperties>
</file>